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ucas.siroo/Desktop/propel-roi/"/>
    </mc:Choice>
  </mc:AlternateContent>
  <xr:revisionPtr revIDLastSave="0" documentId="13_ncr:1_{4FA9E9A2-40BF-D140-8FF2-F1B53DDB3514}" xr6:coauthVersionLast="47" xr6:coauthVersionMax="47" xr10:uidLastSave="{00000000-0000-0000-0000-000000000000}"/>
  <bookViews>
    <workbookView xWindow="-2100" yWindow="-21600" windowWidth="38400" windowHeight="21600" xr2:uid="{00000000-000D-0000-FFFF-FFFF00000000}"/>
  </bookViews>
  <sheets>
    <sheet name="Module × Stakeholder" sheetId="1" r:id="rId1"/>
    <sheet name="Module Pains &amp; Savings" sheetId="2" r:id="rId2"/>
  </sheets>
  <definedNames>
    <definedName name="_xlnm._FilterDatabase" localSheetId="0" hidden="1">'Module × Stakeholder'!$B$4:$I$46</definedName>
    <definedName name="_xlnm._FilterDatabase" localSheetId="1" hidden="1">'Module Pains &amp; Savings'!$B$4:$F$27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G52" i="1" s="1"/>
  <c r="H52" i="1" s="1"/>
  <c r="F51" i="1"/>
  <c r="G51" i="1" s="1"/>
  <c r="H51" i="1" s="1"/>
  <c r="F50" i="1"/>
  <c r="F53" i="1" s="1"/>
  <c r="G50" i="1" l="1"/>
  <c r="G53" i="1" l="1"/>
  <c r="H50" i="1"/>
  <c r="H53" i="1" s="1"/>
</calcChain>
</file>

<file path=xl/sharedStrings.xml><?xml version="1.0" encoding="utf-8"?>
<sst xmlns="http://schemas.openxmlformats.org/spreadsheetml/2006/main" count="372" uniqueCount="151">
  <si>
    <t>Factorial Module Efficiency Model</t>
  </si>
  <si>
    <t>I. Module × Stakeholder — Hours Saved</t>
  </si>
  <si>
    <t>Category</t>
  </si>
  <si>
    <t>Module</t>
  </si>
  <si>
    <t>Stakeholder</t>
  </si>
  <si>
    <t>h / month
/ person</t>
  </si>
  <si>
    <t>Confidence</t>
  </si>
  <si>
    <t>Scales with</t>
  </si>
  <si>
    <t>How time is saved</t>
  </si>
  <si>
    <t>Core</t>
  </si>
  <si>
    <t>Employee platform / Core</t>
  </si>
  <si>
    <t>General Employee</t>
  </si>
  <si>
    <t>High</t>
  </si>
  <si>
    <t>Employees</t>
  </si>
  <si>
    <t>• Self-service profile updates replace emailing HR (~2 min/change × ~3/month)
• Payslips and certificates downloadable on mobile — zero HR requests
• Org chart and company directory always up-to-date</t>
  </si>
  <si>
    <t>HR Admin / Finance</t>
  </si>
  <si>
    <t>HR FTEs</t>
  </si>
  <si>
    <t>• Single employee database eliminates duplicate spreadsheets and copy-paste
• Automated approval workflows for data changes — no manual routing
• Onboarding/offboarding checklists run automatically (~2.5h/week)</t>
  </si>
  <si>
    <t>Manager</t>
  </si>
  <si>
    <t>Managers</t>
  </si>
  <si>
    <t>• Team dashboard shows pending approvals, org structure, direct reports in one click
• No more emailing HR for headcount, contract dates, or employee details</t>
  </si>
  <si>
    <t>Time-off</t>
  </si>
  <si>
    <t>• Request leave from mobile in 30 seconds — no paper forms or email chains
• Real-time balance visible anytime — eliminates balance-check queries</t>
  </si>
  <si>
    <t>• Auto-accrual engine replaces manual balance calculations
• Payroll integration syncs leave data automatically — no re-entry
• Policy rules prevent over-approval before it happens (~1.5h/week)</t>
  </si>
  <si>
    <t>• Visual team calendar shows who's off — no checking spreadsheets
• One-click approve/reject with conflict detection alerts</t>
  </si>
  <si>
    <t>Time Tracking</t>
  </si>
  <si>
    <t>• Time data flows to payroll automatically — no weekly reconciliation
• Overtime calculated per labour law — no manual compliance checks
• Missing entries trigger automatic reminders (~1h/week)</t>
  </si>
  <si>
    <t>Shift Management</t>
  </si>
  <si>
    <t>Shift workers</t>
  </si>
  <si>
    <t>• View upcoming shifts on mobile — no paper rosters or WhatsApp groups
• Request shift swaps directly in-app — manager notified instantly</t>
  </si>
  <si>
    <t>• Auto-generated rosters from demand + labour rules + preferences
• Overtime and rest compliance checked automatically
• Eliminates weekly Excel roster creation (~1.2h/week)</t>
  </si>
  <si>
    <t>• Drag-and-drop planner with instant conflict detection
• Coverage gap warnings and overtime alerts before publishing (~45 min/week)</t>
  </si>
  <si>
    <t>Compensation &amp; Payroll</t>
  </si>
  <si>
    <t>Compensation</t>
  </si>
  <si>
    <t>• Centralised merit/bonus cycles with budget guardrails
• Salary band management in-system — no spreadsheet version conflicts
• Approval routing automated — eliminates email chains</t>
  </si>
  <si>
    <t>Medium</t>
  </si>
  <si>
    <t>• Guided review with team salary data, benchmarks, and remaining budget
• Submit compensation decisions in-app instead of email threads</t>
  </si>
  <si>
    <t>Payroll Connect</t>
  </si>
  <si>
    <t>• Auto-sync from time, leave, expenses, variable comp into payroll
• Eliminates manual data prep (~6h/run × 12 runs/year)
• Discrepancy detection catches errors before payroll submission</t>
  </si>
  <si>
    <t>Benefits &amp; Wellbeing</t>
  </si>
  <si>
    <t>Benefits Standard (Retribucion flexible)</t>
  </si>
  <si>
    <t>• Automated enrollment windows with eligibility rules
• Vendor integration syncs selections — no manual reconciliation (~3h/month)</t>
  </si>
  <si>
    <t>Wellhub</t>
  </si>
  <si>
    <t>• Automated usage reporting replaces manual provider data collection
• Enrollment management handled by platform</t>
  </si>
  <si>
    <t>Compliance</t>
  </si>
  <si>
    <t>Trust channel (Complaints/Whistleblower)</t>
  </si>
  <si>
    <t>• Anonymous reporting portal with built-in case management
• EU Whistleblower Directive compliance out-of-the-box
• Case tracking and deadline alerts replace email-based handling</t>
  </si>
  <si>
    <t>Talent &amp; Development</t>
  </si>
  <si>
    <t>Engagement</t>
  </si>
  <si>
    <t>• Automated survey creation, scheduling, and distribution
• Real-time dashboards by team/dept — no manual Excel analysis (~2.5h/month)</t>
  </si>
  <si>
    <t>• Team engagement scores in dashboard with trend indicators
• Declining score alerts and suggested action plans</t>
  </si>
  <si>
    <t>Performance</t>
  </si>
  <si>
    <t>• Automated review cycles: launch, reminders, completion tracking, calibration
• Replaces Word/Excel templates and manual chasing (~18h/cycle × 2/year)</t>
  </si>
  <si>
    <t>• Pre-populated review forms with historical performance data
• Team performance dashboard for 1:1 prep (~3h/cycle × 2 cycles)</t>
  </si>
  <si>
    <t>Trainings</t>
  </si>
  <si>
    <t>• Automated rollout with completion tracking and compliance reporting
• Subsidy and tax credit documentation generated automatically (~4.5h/month)</t>
  </si>
  <si>
    <t>• Team completion dashboards with skill gap visibility
• Mandatory training compliance status at a glance</t>
  </si>
  <si>
    <t>LMS</t>
  </si>
  <si>
    <t>• Course builder with templates and AI-assisted content creation
• Content library with version control and completion analytics (~7h/course × 6/yr)</t>
  </si>
  <si>
    <t>Recruitment</t>
  </si>
  <si>
    <t>• End-to-end ATS: job posting, pipeline, interview scheduling, scorecards
• Automated candidate status updates and communication templates (~8h/hire)</t>
  </si>
  <si>
    <t>• Structured interview scorecards replace free-form notes
• Side-by-side candidate comparison for hiring decisions (~2.5h/hire)</t>
  </si>
  <si>
    <t>Finance &amp; Spend</t>
  </si>
  <si>
    <t>Expenses</t>
  </si>
  <si>
    <t>Submitters</t>
  </si>
  <si>
    <t>• Mobile receipt capture with OCR — snap photo, auto-categorise, submit
• Policy checks at submission prevent rejections — no more back-and-forth</t>
  </si>
  <si>
    <t>• Automated reconciliation and approval workflows with accounting integration
• Policy violations flagged before approval (~8h/month)</t>
  </si>
  <si>
    <t>• One-click approvals with pre-validated policy checks
• Team spend dashboards with budget alerts</t>
  </si>
  <si>
    <t>Procurement</t>
  </si>
  <si>
    <t>• Digital PO workflows with multi-level approval routing and budget controls
• Maverick spend visibility — identifies off-process purchases</t>
  </si>
  <si>
    <t>• Self-service purchase requests with real-time budget visibility
• Status tracking in-app — no email follow-ups</t>
  </si>
  <si>
    <t>Project Management</t>
  </si>
  <si>
    <t>• Project cost and profitability reports auto-generated from time data
• Replaces manual cost allocation spreadsheets</t>
  </si>
  <si>
    <t>• Real-time project dashboards: allocation, budget burn, profitability
• Replaces manual tracking and month-end reconciliation (~1h/month)</t>
  </si>
  <si>
    <t>Strategic HR</t>
  </si>
  <si>
    <t>CRM</t>
  </si>
  <si>
    <t>• Candidate pools and alumni networks with automated nurture workflows
• Referral program tracking replaces manual outreach management</t>
  </si>
  <si>
    <t>Headcount Planning</t>
  </si>
  <si>
    <t>• Scenario-based workforce planning with real-time budget impact
• Replaces spreadsheet-based headcount forecasting</t>
  </si>
  <si>
    <t>• Approved vs. actual headcount at a glance
• Structured position request workflow — no email requisitions</t>
  </si>
  <si>
    <t>IT &amp; Facilities</t>
  </si>
  <si>
    <t>Spaces</t>
  </si>
  <si>
    <t>• Occupancy analytics and booking rules automated
• Capacity planning based on real usage data</t>
  </si>
  <si>
    <t>Software Management</t>
  </si>
  <si>
    <t>• SaaS license tracking with usage monitoring — identifies shelfware
• Renewal reminders and spend dashboards replace manual vendor tracking</t>
  </si>
  <si>
    <t>IT Inventory</t>
  </si>
  <si>
    <t>• Centralised IT asset register linked to employee lifecycle
• Auto-provisioning on hire, auto-deprovisioning on exit (~2.5h/month)</t>
  </si>
  <si>
    <t>AI</t>
  </si>
  <si>
    <t>One (AI)</t>
  </si>
  <si>
    <t>• AI answers HR questions instantly: policy lookups, balance checks
• Reduces time searching intranet or waiting for HR email response</t>
  </si>
  <si>
    <t>• AI handles routine queries: leave, payslips, policies
• Reduces HR inbox volume by up to 40% — frees time for strategic work</t>
  </si>
  <si>
    <t>II. Impact Calculator</t>
  </si>
  <si>
    <t>h / person / month</t>
  </si>
  <si>
    <t>Headcount</t>
  </si>
  <si>
    <t>Total h / month</t>
  </si>
  <si>
    <t>€ / month</t>
  </si>
  <si>
    <t>€ / year</t>
  </si>
  <si>
    <t>TOTAL</t>
  </si>
  <si>
    <t>Loaded hourly cost (€)</t>
  </si>
  <si>
    <t>ES ≈ €28  ·  FR ≈ €35  ·  DE ≈ €40</t>
  </si>
  <si>
    <t>II. Module — Pain Signals &amp; Time Savings</t>
  </si>
  <si>
    <t>Pain signals detected in prospect conversations</t>
  </si>
  <si>
    <t>How the module saves time to the company</t>
  </si>
  <si>
    <t>• "We manage employee data in Excel / Google Sheets"
• "Employees keep emailing HR for basic info — payslips, certificates"
• "We have data in 3 systems and nothing matches"
• "Onboarding takes forever, we forget steps every time"
• "Our employee directory is always outdated"</t>
  </si>
  <si>
    <t>• Centralises all employee data in a single source of truth
• Self-service portal: employees update info, download payslips, get certificates without HR
• Automated onboarding/offboarding checklists ensure nothing is missed
• Approval workflows route requests automatically
• Real-time org chart and directory always up-to-date</t>
  </si>
  <si>
    <t>• "We track leave in a spreadsheet and it's a mess"
• "Employees keep asking how many days they have left"
• "Managers approve leave by email and sometimes forget"
• "People have taken more days than they had"
• "Reconciling leave with payroll takes hours"</t>
  </si>
  <si>
    <t>• Auto-accrual engine calculates balances in real-time
• Employees see balance and request leave from mobile in seconds
• Manager approval with team calendar and conflict detection
• Policy rules prevent over-approval automatically
• Direct payroll integration syncs approved leave — no re-entry</t>
  </si>
  <si>
    <t>• "Employees fill timesheets manually and often forget"
• "We spend hours reconciling time data for payroll"
• "No visibility on overtime until month-end"
• "Attendance is tracked with paper sign-in sheets"
• "We need to comply with time tracking law but have no system"</t>
  </si>
  <si>
    <t>• Mobile/desktop clock-in replaces paper timesheets
• Automatic overtime calculation per local labour law
• Missing entry reminders sent automatically
• Time data flows directly to payroll — no reconciliation
• Real-time attendance dashboard with anomaly alerts</t>
  </si>
  <si>
    <t>• "Creating the weekly schedule takes hours in Excel"
• "Employees check schedules on paper or WhatsApp"
• "We constantly have conflicts — two people off same shift"
• "Last-minute changes are chaotic — finding replacements is hard"
• "Bad scheduling causes overtime we didn't budget for"</t>
  </si>
  <si>
    <t>• Auto-generated rosters from demand, preferences, and labour rules
• Mobile schedule access and shift swap requests for employees
• Conflict detection and coverage gap warnings before publishing
• Drag-and-drop planner with overtime alerts
• Shift templates for recurring schedules — set up once, reuse always</t>
  </si>
  <si>
    <t>• "Salary reviews are done in Excel — everyone has a different version"
• "No visibility on salary bands across the company"
• "Comp review is emails back and forth between HR and managers"
• "Budget overruns because there's no real-time tracking"
• "Managers don't know market rate for their team"</t>
  </si>
  <si>
    <t>• Centralised merit/bonus/promotion cycles with budget guardrails
• Salary band management in-system — no version conflicts
• Guided manager review with team data and benchmarks
• Real-time budget tracking prevents overruns
• Automated multi-level approval routing</t>
  </si>
  <si>
    <t>• "Payroll prep takes a full day before every run"
• "We manually copy data from time, leave, expenses into payroll"
• "We catch errors after payroll has already run"
• "Monthly discrepancies between HR data and payroll"</t>
  </si>
  <si>
    <t>• Auto-sync from time tracking, leave, expenses, and variable comp
• Discrepancy detection catches errors before submission
• Eliminates manual data prep (~6h per payroll run × 12/year)
• Integrates with local providers (a3innuva, DATEV, etc.)</t>
  </si>
  <si>
    <t>• "Employees don't know what benefits they're eligible for"
• "Flexible remuneration is a nightmare in spreadsheets"
• "Benefits enrollment is manual with lots of back-and-forth"
• "We can't report on benefits utilisation"</t>
  </si>
  <si>
    <t>• Self-service enrollment: meals, transport, childcare, health insurance
• Automated enrollment windows with eligibility rules
• Vendor sync — no manual reconciliation
• Real-time utilisation reporting and tax optimisation visibility</t>
  </si>
  <si>
    <t>• "We want wellness programs but managing vendors is too much work"
• "Employees ask about gym memberships and we have no answer"
• "We can't track who's using wellness benefits"</t>
  </si>
  <si>
    <t>• Integrated wellness platform (gym, mental health) in HR portal
• Single sign-on — no separate provider registration
• Automated usage reporting — no manual data collection</t>
  </si>
  <si>
    <t>• "We need to comply with the EU Whistleblower Directive"
• "Complaints come by email and we lose track"
• "We don't have an anonymous reporting channel"
• "Auditors asked about our complaint process"</t>
  </si>
  <si>
    <t>• Anonymous reporting portal accessible to all employees
• Built-in case management with deadlines and status tracking
• Full audit trail — meets EU Whistleblower Directive
• Replaces email-based intake with structured workflow</t>
  </si>
  <si>
    <t>• "Our annual survey is in Google Forms — takes weeks to analyse"
• "Managers never see their team's results"
• "We don't know why people leave until the exit interview"
• "Employee satisfaction is a black box"
• "Survey participation rate is terrible"</t>
  </si>
  <si>
    <t>• Quick pulse surveys and eNPS on mobile — 2-minute completion
• Automated scheduling, distribution, and reminders
• Real-time dashboards by team, department, tenure
• Manager dashboards with trends and action plan templates
• Anonymous feedback drives higher participation</t>
  </si>
  <si>
    <t>• "Reviews are in Word docs — nobody can find last year's"
• "Managers hate the review process — too bureaucratic"
• "No structured way to set and track goals"
• "HR spends weeks chasing managers to complete reviews"
• "Ratings vary wildly across teams — no calibration"</t>
  </si>
  <si>
    <t>• Automated review cycle: launch, reminders, completion tracking
• Structured competency frameworks with pre-populated forms
• Goal setting and tracking linked to evaluations
• Calibration tools ensure consistent ratings
• Historical data accessible for 1:1s and career planning</t>
  </si>
  <si>
    <t>• "We track training completion in a spreadsheet"
• "Mandatory training compliance is hard to monitor"
• "We can't prove employees completed training for audits"
• "Assigning training to new joiners is always forgotten"
• "L&amp;D subsidy documentation is all manual"</t>
  </si>
  <si>
    <t>• Self-paced catalogue with automated assignment and reminders
• Completion tracking with compliance reporting for audits
• Auto-generated certificates on completion
• Auto-assignment rules for new joiners
• Subsidy and tax credit documentation generated automatically</t>
  </si>
  <si>
    <t>• "We create training in PowerPoint and share it by email"
• "No way to test if employees understood the content"
• "Building a course takes us weeks"
• "We can't track learning progress or knowledge gaps"</t>
  </si>
  <si>
    <t>• Course builder with templates, video, and AI-assisted creation
• Quizzes and assessments validate knowledge retention
• Learning paths with progressive modules
• Completion analytics per course, team, department
• Content library with version control</t>
  </si>
  <si>
    <t>• "We manage candidates in email threads and lose track"
• "Scheduling interviews takes forever — too many emails"
• "No structured evaluation — hiring is gut feelings"
• "Job postings are manual — one by one on each platform"
• "We don't know our time-to-hire or conversion rates"</t>
  </si>
  <si>
    <t>• End-to-end ATS: multi-platform posting, pipeline, auto-updates
• Interview scheduling with calendar integration
• Structured scorecards for consistent evaluation
• Collaborative hiring: managers and HR in the same system
• Pipeline analytics: time-to-hire, conversion, source effectiveness</t>
  </si>
  <si>
    <t>• "Employees collect paper receipts and fill Excel forms"
• "Expense reports sit on my desk for days"
• "We discover policy violations after reimbursement"
• "Month-end expense reconciliation is a nightmare"
• "No visibility on team spending until it's too late"</t>
  </si>
  <si>
    <t>• Mobile receipt capture with OCR — snap, categorise, submit
• Policy checks at submission — violations flagged before approval
• One-click manager approval with pre-validated checks
• Automated reconciliation and accounting integration
• Real-time spend dashboards and budget alerts</t>
  </si>
  <si>
    <t>• "Purchase orders are done by email — nobody tracks them"
• "Maverick spend — people buy without approval"
• "No budget visibility when someone submits a PO"
• "Can't report on total spend by category or vendor"</t>
  </si>
  <si>
    <t>• Digital PO workflows with multi-level approval
• Real-time budget visibility at submission
• Maverick spend detection and alerts
• Vendor and category spend reporting</t>
  </si>
  <si>
    <t>• "We don't know real project cost until it's finished"
• "Time logging is in a separate tool — or not done at all"
• "Project profitability calculated manually in spreadsheets"
• "Can't see who's allocated to what in real-time"</t>
  </si>
  <si>
    <t>• Time logging against projects from the same clock-in interface
• Auto-generated project cost and profitability reports
• Real-time allocation: who's on what, budget burn, margins
• Replaces manual cost allocation spreadsheets</t>
  </si>
  <si>
    <t>• "We track candidate relationships in a spreadsheet"
• "Our alumni network is just an old email list"
• "Referral programs are managed manually"
• "We have no talent pool for future positions"</t>
  </si>
  <si>
    <t>• Candidate pool management for proactive recruiting
• Alumni networks with automated nurture workflows
• Referral program tracking with reward automation
• Talent pipeline reduces time-to-hire for future openings</t>
  </si>
  <si>
    <t>• "Headcount planning is a spreadsheet once a year"
• "Can't model 'what if we hire 5 more in Q3' with budget impact"
• "Managers don't know if their positions are approved"
• "Actuals vs. plan is always off — nobody catches it"</t>
  </si>
  <si>
    <t>• Scenario-based workforce planning with budget impact analysis
• Approved vs. actual headcount tracked automatically
• Structured position request workflow for managers
• Continuous planning replaces annual spreadsheet exercise</t>
  </si>
  <si>
    <t>• "We don't know how many people come to the office each day"
• "Desk booking is first-come-first-served chaos"
• "Meeting rooms are 'booked' but empty"
• "We need occupancy data to decide on office space"</t>
  </si>
  <si>
    <t>• Mobile desk and room booking with visual office maps
• Team visibility — see who's coming each day
• Occupancy analytics for real estate decisions
• Booking rules and capacity limits enforced automatically</t>
  </si>
  <si>
    <t>• "We don't know how many SaaS licenses we're paying for"
• "Tools with 50 licenses but only 10 users"
• "Renewals catch us by surprise every year"
• "Can't report on total software spend"</t>
  </si>
  <si>
    <t>• SaaS license tracking with usage monitoring
• Shelfware identification — flags unused licenses
• Renewal reminders with renegotiation lead time
• Total spend dashboards by vendor, team, category</t>
  </si>
  <si>
    <t>• "We track laptops and equipment in a spreadsheet"
• "When someone leaves, we forget to collect equipment"
• "Orphan accounts on tools because offboarding is manual"
• "We don't know what equipment each employee has"</t>
  </si>
  <si>
    <t>• Centralised IT asset register linked to employee profiles
• Auto-provisioning on hire: equipment, accounts, access
• Auto-deprovisioning on exit: revoke access, flag returns
• Orphan account detection and unused license flagging</t>
  </si>
  <si>
    <t>• "HR spends half the day answering the same questions"
• "Employees can't find policies on the intranet"
• "Simple questions like 'how many vacation days' generate tickets"
• "We need to reduce HR workload but can't hire more"</t>
  </si>
  <si>
    <t>• AI answers HR questions instantly: policies, balances, processes
• Natural language queries — employees ask in their own words
• Reduces HR inbox volume by up to 40%
• Available 24/7 — answers outside business hours</t>
  </si>
  <si>
    <t>• Mobile/desktop clock-in replaces paper timesheets (~2 min/day × 20 days)
• Forgot to clock in? Edit requests with manager approval in-app</t>
  </si>
  <si>
    <t xml:space="preserve">• Real-time attendance dashboard replaces morning roll calls
• Anomaly alerts (late arrivals, missed clock-outs) sent automatically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</si>
</sst>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\€#,##0"/>
  </numFmts>
  <fonts count="9" x14ac:knownFonts="1">
    <font>
      <sz val="11"/>
      <color theme="1"/>
      <name val="Calibri"/>
      <family val="2"/>
      <scheme val="minor"/>
    </font>
    <font>
      <b/>
      <i/>
      <sz val="13"/>
      <color rgb="FFFFFFFF"/>
      <name val="Calibri"/>
      <family val="2"/>
    </font>
    <font>
      <b/>
      <i/>
      <sz val="11"/>
      <color rgb="FFFF4F6D"/>
      <name val="Calibri"/>
      <family val="2"/>
    </font>
    <font>
      <b/>
      <sz val="10"/>
      <color rgb="FF1A1A1A"/>
      <name val="Calibri"/>
      <family val="2"/>
    </font>
    <font>
      <sz val="9.5"/>
      <color rgb="FF333333"/>
      <name val="Calibri"/>
      <family val="2"/>
    </font>
    <font>
      <b/>
      <sz val="9.5"/>
      <color rgb="FF1A1A1A"/>
      <name val="Calibri"/>
      <family val="2"/>
    </font>
    <font>
      <b/>
      <sz val="10"/>
      <color rgb="FFFF4F6D"/>
      <name val="Calibri"/>
      <family val="2"/>
    </font>
    <font>
      <b/>
      <sz val="10"/>
      <color rgb="FFFFFFFF"/>
      <name val="Calibri"/>
      <family val="2"/>
    </font>
    <font>
      <i/>
      <sz val="8.5"/>
      <color rgb="FF99999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4F6D"/>
      </patternFill>
    </fill>
    <fill>
      <patternFill patternType="solid">
        <fgColor rgb="FFF9FAFB"/>
      </patternFill>
    </fill>
    <fill>
      <patternFill patternType="solid">
        <fgColor rgb="FF64748B"/>
      </patternFill>
    </fill>
    <fill>
      <patternFill patternType="solid">
        <fgColor rgb="FF3B82F6"/>
      </patternFill>
    </fill>
    <fill>
      <patternFill patternType="solid">
        <fgColor rgb="FF475569"/>
      </patternFill>
    </fill>
    <fill>
      <patternFill patternType="solid">
        <fgColor rgb="FFF59E0B"/>
      </patternFill>
    </fill>
    <fill>
      <patternFill patternType="solid">
        <fgColor rgb="FF0D9488"/>
      </patternFill>
    </fill>
    <fill>
      <patternFill patternType="solid">
        <fgColor rgb="FF10B981"/>
      </patternFill>
    </fill>
    <fill>
      <patternFill patternType="solid">
        <fgColor rgb="FF6B7280"/>
      </patternFill>
    </fill>
    <fill>
      <patternFill patternType="solid">
        <fgColor rgb="FFEC4899"/>
      </patternFill>
    </fill>
    <fill>
      <patternFill patternType="solid">
        <fgColor rgb="FF6366F1"/>
      </patternFill>
    </fill>
    <fill>
      <patternFill patternType="solid">
        <fgColor rgb="FF22C55E"/>
      </patternFill>
    </fill>
    <fill>
      <patternFill patternType="solid">
        <fgColor rgb="FF16A34A"/>
      </patternFill>
    </fill>
    <fill>
      <patternFill patternType="solid">
        <fgColor rgb="FF8B5CF6"/>
      </patternFill>
    </fill>
    <fill>
      <patternFill patternType="solid">
        <fgColor rgb="FFF97316"/>
      </patternFill>
    </fill>
    <fill>
      <patternFill patternType="solid">
        <fgColor rgb="FFEA580C"/>
      </patternFill>
    </fill>
    <fill>
      <patternFill patternType="solid">
        <fgColor rgb="FF2563EB"/>
      </patternFill>
    </fill>
    <fill>
      <patternFill patternType="solid">
        <fgColor rgb="FF94A3B8"/>
      </patternFill>
    </fill>
    <fill>
      <patternFill patternType="solid">
        <fgColor rgb="FFA855F7"/>
      </patternFill>
    </fill>
    <fill>
      <patternFill patternType="solid">
        <fgColor rgb="FFFFE0E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6" fillId="21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0" fillId="2" borderId="1" xfId="0" applyFill="1" applyBorder="1"/>
    <xf numFmtId="0" fontId="7" fillId="2" borderId="1" xfId="0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166" fontId="6" fillId="21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EFD6B4-0003-314B-A001-94FEA4EC9BB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9e78b54-52e6-46f1-9329-19a23ea7a33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I55"/>
  <sheetViews>
    <sheetView showGridLines="0" tabSelected="1" topLeftCell="B1" zoomScale="136" workbookViewId="0">
      <pane ySplit="4" topLeftCell="A7" activePane="bottomLeft" state="frozen"/>
      <selection pane="bottomLeft" activeCell="F28" sqref="F28"/>
    </sheetView>
  </sheetViews>
  <sheetFormatPr baseColWidth="10" defaultColWidth="8.83203125" defaultRowHeight="15" x14ac:dyDescent="0.2"/>
  <cols>
    <col min="1" max="1" width="2.6640625" customWidth="1"/>
    <col min="2" max="2" width="2.5" customWidth="1"/>
    <col min="3" max="3" width="22" customWidth="1"/>
    <col min="4" max="4" width="38" customWidth="1"/>
    <col min="5" max="5" width="19" customWidth="1"/>
    <col min="6" max="7" width="12" customWidth="1"/>
    <col min="8" max="8" width="14" customWidth="1"/>
    <col min="9" max="9" width="75" customWidth="1"/>
  </cols>
  <sheetData>
    <row r="1" spans="2:9" ht="32" customHeight="1" x14ac:dyDescent="0.2">
      <c r="B1" s="1"/>
      <c r="C1" s="2" t="s">
        <v>0</v>
      </c>
      <c r="D1" s="1"/>
      <c r="E1" s="1"/>
      <c r="F1" s="1"/>
      <c r="G1" s="1"/>
      <c r="H1" s="1"/>
      <c r="I1" s="1"/>
    </row>
    <row r="2" spans="2:9" ht="6" customHeight="1" x14ac:dyDescent="0.2"/>
    <row r="3" spans="2:9" ht="22" customHeight="1" x14ac:dyDescent="0.2">
      <c r="C3" s="3" t="s">
        <v>1</v>
      </c>
    </row>
    <row r="4" spans="2:9" ht="30" customHeight="1" x14ac:dyDescent="0.2">
      <c r="B4" s="4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2:9" ht="45" hidden="1" customHeight="1" x14ac:dyDescent="0.2">
      <c r="B5" s="5"/>
      <c r="C5" s="6" t="s">
        <v>9</v>
      </c>
      <c r="D5" s="7" t="s">
        <v>10</v>
      </c>
      <c r="E5" s="8" t="s">
        <v>11</v>
      </c>
      <c r="F5" s="9">
        <v>0.5</v>
      </c>
      <c r="G5" s="8" t="s">
        <v>12</v>
      </c>
      <c r="H5" s="8" t="s">
        <v>13</v>
      </c>
      <c r="I5" s="10" t="s">
        <v>14</v>
      </c>
    </row>
    <row r="6" spans="2:9" ht="45" hidden="1" customHeight="1" x14ac:dyDescent="0.2">
      <c r="B6" s="5"/>
      <c r="C6" s="6" t="s">
        <v>9</v>
      </c>
      <c r="D6" s="7" t="s">
        <v>10</v>
      </c>
      <c r="E6" s="8" t="s">
        <v>15</v>
      </c>
      <c r="F6" s="9">
        <v>10</v>
      </c>
      <c r="G6" s="8" t="s">
        <v>12</v>
      </c>
      <c r="H6" s="8" t="s">
        <v>16</v>
      </c>
      <c r="I6" s="10" t="s">
        <v>17</v>
      </c>
    </row>
    <row r="7" spans="2:9" ht="32" customHeight="1" x14ac:dyDescent="0.2">
      <c r="B7" s="5"/>
      <c r="C7" s="6" t="s">
        <v>9</v>
      </c>
      <c r="D7" s="7" t="s">
        <v>10</v>
      </c>
      <c r="E7" s="8" t="s">
        <v>18</v>
      </c>
      <c r="F7" s="9">
        <v>1</v>
      </c>
      <c r="G7" s="8" t="s">
        <v>12</v>
      </c>
      <c r="H7" s="8" t="s">
        <v>19</v>
      </c>
      <c r="I7" s="10" t="s">
        <v>20</v>
      </c>
    </row>
    <row r="8" spans="2:9" ht="32" hidden="1" customHeight="1" x14ac:dyDescent="0.2">
      <c r="B8" s="11"/>
      <c r="C8" s="6" t="s">
        <v>9</v>
      </c>
      <c r="D8" s="7" t="s">
        <v>21</v>
      </c>
      <c r="E8" s="8" t="s">
        <v>11</v>
      </c>
      <c r="F8" s="9">
        <v>0.2</v>
      </c>
      <c r="G8" s="8" t="s">
        <v>12</v>
      </c>
      <c r="H8" s="8" t="s">
        <v>13</v>
      </c>
      <c r="I8" s="10" t="s">
        <v>22</v>
      </c>
    </row>
    <row r="9" spans="2:9" ht="45" hidden="1" customHeight="1" x14ac:dyDescent="0.2">
      <c r="B9" s="11"/>
      <c r="C9" s="6" t="s">
        <v>9</v>
      </c>
      <c r="D9" s="7" t="s">
        <v>21</v>
      </c>
      <c r="E9" s="8" t="s">
        <v>15</v>
      </c>
      <c r="F9" s="9">
        <v>6.7</v>
      </c>
      <c r="G9" s="8" t="s">
        <v>12</v>
      </c>
      <c r="H9" s="8" t="s">
        <v>16</v>
      </c>
      <c r="I9" s="10" t="s">
        <v>23</v>
      </c>
    </row>
    <row r="10" spans="2:9" ht="32" customHeight="1" x14ac:dyDescent="0.2">
      <c r="B10" s="11"/>
      <c r="C10" s="6" t="s">
        <v>9</v>
      </c>
      <c r="D10" s="7" t="s">
        <v>21</v>
      </c>
      <c r="E10" s="8" t="s">
        <v>18</v>
      </c>
      <c r="F10" s="9">
        <v>1</v>
      </c>
      <c r="G10" s="8" t="s">
        <v>12</v>
      </c>
      <c r="H10" s="8" t="s">
        <v>19</v>
      </c>
      <c r="I10" s="10" t="s">
        <v>24</v>
      </c>
    </row>
    <row r="11" spans="2:9" ht="32" hidden="1" customHeight="1" x14ac:dyDescent="0.2">
      <c r="B11" s="12"/>
      <c r="C11" s="6" t="s">
        <v>9</v>
      </c>
      <c r="D11" s="7" t="s">
        <v>25</v>
      </c>
      <c r="E11" s="8" t="s">
        <v>11</v>
      </c>
      <c r="F11" s="9">
        <v>0.7</v>
      </c>
      <c r="G11" s="8" t="s">
        <v>12</v>
      </c>
      <c r="H11" s="8" t="s">
        <v>13</v>
      </c>
      <c r="I11" s="10" t="s">
        <v>149</v>
      </c>
    </row>
    <row r="12" spans="2:9" ht="45" hidden="1" customHeight="1" x14ac:dyDescent="0.2">
      <c r="B12" s="12"/>
      <c r="C12" s="6" t="s">
        <v>9</v>
      </c>
      <c r="D12" s="7" t="s">
        <v>25</v>
      </c>
      <c r="E12" s="8" t="s">
        <v>15</v>
      </c>
      <c r="F12" s="9">
        <v>4</v>
      </c>
      <c r="G12" s="8" t="s">
        <v>12</v>
      </c>
      <c r="H12" s="8" t="s">
        <v>16</v>
      </c>
      <c r="I12" s="10" t="s">
        <v>26</v>
      </c>
    </row>
    <row r="13" spans="2:9" ht="32" customHeight="1" x14ac:dyDescent="0.2">
      <c r="B13" s="12"/>
      <c r="C13" s="6" t="s">
        <v>9</v>
      </c>
      <c r="D13" s="7" t="s">
        <v>25</v>
      </c>
      <c r="E13" s="8" t="s">
        <v>18</v>
      </c>
      <c r="F13" s="9">
        <v>0.5</v>
      </c>
      <c r="G13" s="8" t="s">
        <v>12</v>
      </c>
      <c r="H13" s="8" t="s">
        <v>19</v>
      </c>
      <c r="I13" s="10" t="s">
        <v>150</v>
      </c>
    </row>
    <row r="14" spans="2:9" ht="32" hidden="1" customHeight="1" x14ac:dyDescent="0.2">
      <c r="B14" s="13"/>
      <c r="C14" s="6" t="s">
        <v>9</v>
      </c>
      <c r="D14" s="7" t="s">
        <v>27</v>
      </c>
      <c r="E14" s="8" t="s">
        <v>11</v>
      </c>
      <c r="F14" s="9">
        <v>0.5</v>
      </c>
      <c r="G14" s="8" t="s">
        <v>12</v>
      </c>
      <c r="H14" s="8" t="s">
        <v>28</v>
      </c>
      <c r="I14" s="10" t="s">
        <v>29</v>
      </c>
    </row>
    <row r="15" spans="2:9" ht="45" hidden="1" customHeight="1" x14ac:dyDescent="0.2">
      <c r="B15" s="13"/>
      <c r="C15" s="6" t="s">
        <v>9</v>
      </c>
      <c r="D15" s="7" t="s">
        <v>27</v>
      </c>
      <c r="E15" s="8" t="s">
        <v>15</v>
      </c>
      <c r="F15" s="9">
        <v>5</v>
      </c>
      <c r="G15" s="8" t="s">
        <v>12</v>
      </c>
      <c r="H15" s="8" t="s">
        <v>16</v>
      </c>
      <c r="I15" s="10" t="s">
        <v>30</v>
      </c>
    </row>
    <row r="16" spans="2:9" ht="32" customHeight="1" x14ac:dyDescent="0.2">
      <c r="B16" s="13"/>
      <c r="C16" s="6" t="s">
        <v>9</v>
      </c>
      <c r="D16" s="7" t="s">
        <v>27</v>
      </c>
      <c r="E16" s="8" t="s">
        <v>18</v>
      </c>
      <c r="F16" s="9">
        <v>3.3</v>
      </c>
      <c r="G16" s="8" t="s">
        <v>12</v>
      </c>
      <c r="H16" s="8" t="s">
        <v>19</v>
      </c>
      <c r="I16" s="10" t="s">
        <v>31</v>
      </c>
    </row>
    <row r="17" spans="2:9" ht="45" hidden="1" customHeight="1" x14ac:dyDescent="0.2">
      <c r="B17" s="14"/>
      <c r="C17" s="6" t="s">
        <v>32</v>
      </c>
      <c r="D17" s="7" t="s">
        <v>33</v>
      </c>
      <c r="E17" s="8" t="s">
        <v>15</v>
      </c>
      <c r="F17" s="9">
        <v>4.2</v>
      </c>
      <c r="G17" s="8" t="s">
        <v>12</v>
      </c>
      <c r="H17" s="8" t="s">
        <v>16</v>
      </c>
      <c r="I17" s="10" t="s">
        <v>34</v>
      </c>
    </row>
    <row r="18" spans="2:9" ht="32" customHeight="1" x14ac:dyDescent="0.2">
      <c r="B18" s="14"/>
      <c r="C18" s="6" t="s">
        <v>32</v>
      </c>
      <c r="D18" s="7" t="s">
        <v>33</v>
      </c>
      <c r="E18" s="8" t="s">
        <v>18</v>
      </c>
      <c r="F18" s="9">
        <v>0.5</v>
      </c>
      <c r="G18" s="8" t="s">
        <v>35</v>
      </c>
      <c r="H18" s="8" t="s">
        <v>19</v>
      </c>
      <c r="I18" s="10" t="s">
        <v>36</v>
      </c>
    </row>
    <row r="19" spans="2:9" ht="45" hidden="1" customHeight="1" x14ac:dyDescent="0.2">
      <c r="B19" s="14"/>
      <c r="C19" s="6" t="s">
        <v>32</v>
      </c>
      <c r="D19" s="7" t="s">
        <v>37</v>
      </c>
      <c r="E19" s="8" t="s">
        <v>15</v>
      </c>
      <c r="F19" s="9">
        <v>6</v>
      </c>
      <c r="G19" s="8" t="s">
        <v>12</v>
      </c>
      <c r="H19" s="8" t="s">
        <v>16</v>
      </c>
      <c r="I19" s="10" t="s">
        <v>38</v>
      </c>
    </row>
    <row r="20" spans="2:9" ht="32" hidden="1" customHeight="1" x14ac:dyDescent="0.2">
      <c r="B20" s="15"/>
      <c r="C20" s="6" t="s">
        <v>39</v>
      </c>
      <c r="D20" s="7" t="s">
        <v>40</v>
      </c>
      <c r="E20" s="8" t="s">
        <v>15</v>
      </c>
      <c r="F20" s="9">
        <v>3</v>
      </c>
      <c r="G20" s="8" t="s">
        <v>12</v>
      </c>
      <c r="H20" s="8" t="s">
        <v>16</v>
      </c>
      <c r="I20" s="10" t="s">
        <v>41</v>
      </c>
    </row>
    <row r="21" spans="2:9" ht="32" hidden="1" customHeight="1" x14ac:dyDescent="0.2">
      <c r="B21" s="15"/>
      <c r="C21" s="6" t="s">
        <v>39</v>
      </c>
      <c r="D21" s="7" t="s">
        <v>42</v>
      </c>
      <c r="E21" s="8" t="s">
        <v>15</v>
      </c>
      <c r="F21" s="9">
        <v>0.7</v>
      </c>
      <c r="G21" s="8" t="s">
        <v>35</v>
      </c>
      <c r="H21" s="8" t="s">
        <v>16</v>
      </c>
      <c r="I21" s="10" t="s">
        <v>43</v>
      </c>
    </row>
    <row r="22" spans="2:9" ht="45" hidden="1" customHeight="1" x14ac:dyDescent="0.2">
      <c r="B22" s="16"/>
      <c r="C22" s="6" t="s">
        <v>44</v>
      </c>
      <c r="D22" s="7" t="s">
        <v>45</v>
      </c>
      <c r="E22" s="8" t="s">
        <v>15</v>
      </c>
      <c r="F22" s="9">
        <v>0.8</v>
      </c>
      <c r="G22" s="8" t="s">
        <v>12</v>
      </c>
      <c r="H22" s="8" t="s">
        <v>16</v>
      </c>
      <c r="I22" s="10" t="s">
        <v>46</v>
      </c>
    </row>
    <row r="23" spans="2:9" ht="32" hidden="1" customHeight="1" x14ac:dyDescent="0.2">
      <c r="B23" s="17"/>
      <c r="C23" s="6" t="s">
        <v>47</v>
      </c>
      <c r="D23" s="7" t="s">
        <v>48</v>
      </c>
      <c r="E23" s="8" t="s">
        <v>15</v>
      </c>
      <c r="F23" s="9">
        <v>2.5</v>
      </c>
      <c r="G23" s="8" t="s">
        <v>12</v>
      </c>
      <c r="H23" s="8" t="s">
        <v>16</v>
      </c>
      <c r="I23" s="10" t="s">
        <v>49</v>
      </c>
    </row>
    <row r="24" spans="2:9" ht="32" customHeight="1" x14ac:dyDescent="0.2">
      <c r="B24" s="17"/>
      <c r="C24" s="6" t="s">
        <v>47</v>
      </c>
      <c r="D24" s="7" t="s">
        <v>48</v>
      </c>
      <c r="E24" s="8" t="s">
        <v>18</v>
      </c>
      <c r="F24" s="9">
        <v>0.5</v>
      </c>
      <c r="G24" s="8" t="s">
        <v>35</v>
      </c>
      <c r="H24" s="8" t="s">
        <v>19</v>
      </c>
      <c r="I24" s="10" t="s">
        <v>50</v>
      </c>
    </row>
    <row r="25" spans="2:9" ht="32" hidden="1" customHeight="1" x14ac:dyDescent="0.2">
      <c r="B25" s="18"/>
      <c r="C25" s="6" t="s">
        <v>47</v>
      </c>
      <c r="D25" s="7" t="s">
        <v>51</v>
      </c>
      <c r="E25" s="8" t="s">
        <v>15</v>
      </c>
      <c r="F25" s="9">
        <v>3</v>
      </c>
      <c r="G25" s="8" t="s">
        <v>12</v>
      </c>
      <c r="H25" s="8" t="s">
        <v>16</v>
      </c>
      <c r="I25" s="10" t="s">
        <v>52</v>
      </c>
    </row>
    <row r="26" spans="2:9" ht="32" customHeight="1" x14ac:dyDescent="0.2">
      <c r="B26" s="18"/>
      <c r="C26" s="6" t="s">
        <v>47</v>
      </c>
      <c r="D26" s="7" t="s">
        <v>51</v>
      </c>
      <c r="E26" s="8" t="s">
        <v>18</v>
      </c>
      <c r="F26" s="9">
        <v>1</v>
      </c>
      <c r="G26" s="8" t="s">
        <v>12</v>
      </c>
      <c r="H26" s="8" t="s">
        <v>19</v>
      </c>
      <c r="I26" s="10" t="s">
        <v>53</v>
      </c>
    </row>
    <row r="27" spans="2:9" ht="32" hidden="1" customHeight="1" x14ac:dyDescent="0.2">
      <c r="B27" s="19"/>
      <c r="C27" s="6" t="s">
        <v>47</v>
      </c>
      <c r="D27" s="7" t="s">
        <v>54</v>
      </c>
      <c r="E27" s="8" t="s">
        <v>15</v>
      </c>
      <c r="F27" s="9">
        <v>4.7</v>
      </c>
      <c r="G27" s="8" t="s">
        <v>12</v>
      </c>
      <c r="H27" s="8" t="s">
        <v>16</v>
      </c>
      <c r="I27" s="10" t="s">
        <v>55</v>
      </c>
    </row>
    <row r="28" spans="2:9" ht="32" customHeight="1" x14ac:dyDescent="0.2">
      <c r="B28" s="19"/>
      <c r="C28" s="6" t="s">
        <v>47</v>
      </c>
      <c r="D28" s="7" t="s">
        <v>54</v>
      </c>
      <c r="E28" s="8" t="s">
        <v>18</v>
      </c>
      <c r="F28" s="9">
        <v>0.8</v>
      </c>
      <c r="G28" s="8" t="s">
        <v>35</v>
      </c>
      <c r="H28" s="8" t="s">
        <v>19</v>
      </c>
      <c r="I28" s="10" t="s">
        <v>56</v>
      </c>
    </row>
    <row r="29" spans="2:9" ht="32" hidden="1" customHeight="1" x14ac:dyDescent="0.2">
      <c r="B29" s="20"/>
      <c r="C29" s="6" t="s">
        <v>47</v>
      </c>
      <c r="D29" s="7" t="s">
        <v>57</v>
      </c>
      <c r="E29" s="8" t="s">
        <v>15</v>
      </c>
      <c r="F29" s="9">
        <v>3.3</v>
      </c>
      <c r="G29" s="8" t="s">
        <v>12</v>
      </c>
      <c r="H29" s="8" t="s">
        <v>16</v>
      </c>
      <c r="I29" s="10" t="s">
        <v>58</v>
      </c>
    </row>
    <row r="30" spans="2:9" ht="32" hidden="1" customHeight="1" x14ac:dyDescent="0.2">
      <c r="B30" s="21"/>
      <c r="C30" s="6" t="s">
        <v>47</v>
      </c>
      <c r="D30" s="7" t="s">
        <v>59</v>
      </c>
      <c r="E30" s="8" t="s">
        <v>15</v>
      </c>
      <c r="F30" s="9">
        <v>5</v>
      </c>
      <c r="G30" s="8" t="s">
        <v>12</v>
      </c>
      <c r="H30" s="8" t="s">
        <v>16</v>
      </c>
      <c r="I30" s="10" t="s">
        <v>60</v>
      </c>
    </row>
    <row r="31" spans="2:9" ht="32" customHeight="1" x14ac:dyDescent="0.2">
      <c r="B31" s="21"/>
      <c r="C31" s="6" t="s">
        <v>47</v>
      </c>
      <c r="D31" s="7" t="s">
        <v>59</v>
      </c>
      <c r="E31" s="8" t="s">
        <v>18</v>
      </c>
      <c r="F31" s="9">
        <v>1.5</v>
      </c>
      <c r="G31" s="8" t="s">
        <v>12</v>
      </c>
      <c r="H31" s="8" t="s">
        <v>19</v>
      </c>
      <c r="I31" s="10" t="s">
        <v>61</v>
      </c>
    </row>
    <row r="32" spans="2:9" ht="32" hidden="1" customHeight="1" x14ac:dyDescent="0.2">
      <c r="B32" s="22"/>
      <c r="C32" s="6" t="s">
        <v>62</v>
      </c>
      <c r="D32" s="7" t="s">
        <v>63</v>
      </c>
      <c r="E32" s="8" t="s">
        <v>11</v>
      </c>
      <c r="F32" s="9">
        <v>0.5</v>
      </c>
      <c r="G32" s="8" t="s">
        <v>12</v>
      </c>
      <c r="H32" s="8" t="s">
        <v>64</v>
      </c>
      <c r="I32" s="10" t="s">
        <v>65</v>
      </c>
    </row>
    <row r="33" spans="2:9" ht="32" hidden="1" customHeight="1" x14ac:dyDescent="0.2">
      <c r="B33" s="22"/>
      <c r="C33" s="6" t="s">
        <v>62</v>
      </c>
      <c r="D33" s="7" t="s">
        <v>63</v>
      </c>
      <c r="E33" s="8" t="s">
        <v>15</v>
      </c>
      <c r="F33" s="9">
        <v>8</v>
      </c>
      <c r="G33" s="8" t="s">
        <v>12</v>
      </c>
      <c r="H33" s="8" t="s">
        <v>16</v>
      </c>
      <c r="I33" s="10" t="s">
        <v>66</v>
      </c>
    </row>
    <row r="34" spans="2:9" ht="32" customHeight="1" x14ac:dyDescent="0.2">
      <c r="B34" s="22"/>
      <c r="C34" s="6" t="s">
        <v>62</v>
      </c>
      <c r="D34" s="7" t="s">
        <v>63</v>
      </c>
      <c r="E34" s="8" t="s">
        <v>18</v>
      </c>
      <c r="F34" s="9">
        <v>0.8</v>
      </c>
      <c r="G34" s="8" t="s">
        <v>12</v>
      </c>
      <c r="H34" s="8" t="s">
        <v>19</v>
      </c>
      <c r="I34" s="10" t="s">
        <v>67</v>
      </c>
    </row>
    <row r="35" spans="2:9" ht="32" hidden="1" customHeight="1" x14ac:dyDescent="0.2">
      <c r="B35" s="23"/>
      <c r="C35" s="6" t="s">
        <v>62</v>
      </c>
      <c r="D35" s="7" t="s">
        <v>68</v>
      </c>
      <c r="E35" s="8" t="s">
        <v>15</v>
      </c>
      <c r="F35" s="9">
        <v>2.5</v>
      </c>
      <c r="G35" s="8" t="s">
        <v>12</v>
      </c>
      <c r="H35" s="8" t="s">
        <v>16</v>
      </c>
      <c r="I35" s="10" t="s">
        <v>69</v>
      </c>
    </row>
    <row r="36" spans="2:9" ht="32" customHeight="1" x14ac:dyDescent="0.2">
      <c r="B36" s="23"/>
      <c r="C36" s="6" t="s">
        <v>62</v>
      </c>
      <c r="D36" s="7" t="s">
        <v>68</v>
      </c>
      <c r="E36" s="8" t="s">
        <v>18</v>
      </c>
      <c r="F36" s="9">
        <v>0.5</v>
      </c>
      <c r="G36" s="8" t="s">
        <v>35</v>
      </c>
      <c r="H36" s="8" t="s">
        <v>19</v>
      </c>
      <c r="I36" s="10" t="s">
        <v>70</v>
      </c>
    </row>
    <row r="37" spans="2:9" ht="32" hidden="1" customHeight="1" x14ac:dyDescent="0.2">
      <c r="B37" s="22"/>
      <c r="C37" s="6" t="s">
        <v>62</v>
      </c>
      <c r="D37" s="7" t="s">
        <v>71</v>
      </c>
      <c r="E37" s="8" t="s">
        <v>15</v>
      </c>
      <c r="F37" s="9">
        <v>1.7</v>
      </c>
      <c r="G37" s="8" t="s">
        <v>12</v>
      </c>
      <c r="H37" s="8" t="s">
        <v>16</v>
      </c>
      <c r="I37" s="10" t="s">
        <v>72</v>
      </c>
    </row>
    <row r="38" spans="2:9" ht="32" customHeight="1" x14ac:dyDescent="0.2">
      <c r="B38" s="22"/>
      <c r="C38" s="6" t="s">
        <v>62</v>
      </c>
      <c r="D38" s="7" t="s">
        <v>71</v>
      </c>
      <c r="E38" s="8" t="s">
        <v>18</v>
      </c>
      <c r="F38" s="9">
        <v>1.2</v>
      </c>
      <c r="G38" s="8" t="s">
        <v>12</v>
      </c>
      <c r="H38" s="8" t="s">
        <v>19</v>
      </c>
      <c r="I38" s="10" t="s">
        <v>73</v>
      </c>
    </row>
    <row r="39" spans="2:9" ht="32" hidden="1" customHeight="1" x14ac:dyDescent="0.2">
      <c r="B39" s="24"/>
      <c r="C39" s="6" t="s">
        <v>74</v>
      </c>
      <c r="D39" s="7" t="s">
        <v>75</v>
      </c>
      <c r="E39" s="8" t="s">
        <v>15</v>
      </c>
      <c r="F39" s="9">
        <v>1.5</v>
      </c>
      <c r="G39" s="8" t="s">
        <v>35</v>
      </c>
      <c r="H39" s="8" t="s">
        <v>16</v>
      </c>
      <c r="I39" s="10" t="s">
        <v>76</v>
      </c>
    </row>
    <row r="40" spans="2:9" ht="32" hidden="1" customHeight="1" x14ac:dyDescent="0.2">
      <c r="B40" s="11"/>
      <c r="C40" s="6" t="s">
        <v>74</v>
      </c>
      <c r="D40" s="7" t="s">
        <v>77</v>
      </c>
      <c r="E40" s="8" t="s">
        <v>15</v>
      </c>
      <c r="F40" s="9">
        <v>2.5</v>
      </c>
      <c r="G40" s="8" t="s">
        <v>12</v>
      </c>
      <c r="H40" s="8" t="s">
        <v>16</v>
      </c>
      <c r="I40" s="10" t="s">
        <v>78</v>
      </c>
    </row>
    <row r="41" spans="2:9" ht="32" customHeight="1" x14ac:dyDescent="0.2">
      <c r="B41" s="11"/>
      <c r="C41" s="6" t="s">
        <v>74</v>
      </c>
      <c r="D41" s="7" t="s">
        <v>77</v>
      </c>
      <c r="E41" s="8" t="s">
        <v>18</v>
      </c>
      <c r="F41" s="9">
        <v>0.5</v>
      </c>
      <c r="G41" s="8" t="s">
        <v>35</v>
      </c>
      <c r="H41" s="8" t="s">
        <v>19</v>
      </c>
      <c r="I41" s="10" t="s">
        <v>79</v>
      </c>
    </row>
    <row r="42" spans="2:9" ht="32" hidden="1" customHeight="1" x14ac:dyDescent="0.2">
      <c r="B42" s="25"/>
      <c r="C42" s="6" t="s">
        <v>80</v>
      </c>
      <c r="D42" s="7" t="s">
        <v>81</v>
      </c>
      <c r="E42" s="8" t="s">
        <v>15</v>
      </c>
      <c r="F42" s="9">
        <v>1</v>
      </c>
      <c r="G42" s="8" t="s">
        <v>35</v>
      </c>
      <c r="H42" s="8" t="s">
        <v>16</v>
      </c>
      <c r="I42" s="10" t="s">
        <v>82</v>
      </c>
    </row>
    <row r="43" spans="2:9" ht="32" hidden="1" customHeight="1" x14ac:dyDescent="0.2">
      <c r="B43" s="5"/>
      <c r="C43" s="6" t="s">
        <v>80</v>
      </c>
      <c r="D43" s="7" t="s">
        <v>83</v>
      </c>
      <c r="E43" s="8" t="s">
        <v>15</v>
      </c>
      <c r="F43" s="9">
        <v>1.7</v>
      </c>
      <c r="G43" s="8" t="s">
        <v>12</v>
      </c>
      <c r="H43" s="8" t="s">
        <v>16</v>
      </c>
      <c r="I43" s="10" t="s">
        <v>84</v>
      </c>
    </row>
    <row r="44" spans="2:9" ht="32" hidden="1" customHeight="1" x14ac:dyDescent="0.2">
      <c r="B44" s="12"/>
      <c r="C44" s="6" t="s">
        <v>80</v>
      </c>
      <c r="D44" s="7" t="s">
        <v>85</v>
      </c>
      <c r="E44" s="8" t="s">
        <v>15</v>
      </c>
      <c r="F44" s="9">
        <v>2.2999999999999998</v>
      </c>
      <c r="G44" s="8" t="s">
        <v>12</v>
      </c>
      <c r="H44" s="8" t="s">
        <v>16</v>
      </c>
      <c r="I44" s="10" t="s">
        <v>86</v>
      </c>
    </row>
    <row r="45" spans="2:9" ht="32" hidden="1" customHeight="1" x14ac:dyDescent="0.2">
      <c r="B45" s="26"/>
      <c r="C45" s="6" t="s">
        <v>87</v>
      </c>
      <c r="D45" s="7" t="s">
        <v>88</v>
      </c>
      <c r="E45" s="8" t="s">
        <v>11</v>
      </c>
      <c r="F45" s="9">
        <v>0.2</v>
      </c>
      <c r="G45" s="8" t="s">
        <v>35</v>
      </c>
      <c r="H45" s="8" t="s">
        <v>13</v>
      </c>
      <c r="I45" s="10" t="s">
        <v>89</v>
      </c>
    </row>
    <row r="46" spans="2:9" ht="32" hidden="1" customHeight="1" x14ac:dyDescent="0.2">
      <c r="B46" s="26"/>
      <c r="C46" s="6" t="s">
        <v>87</v>
      </c>
      <c r="D46" s="7" t="s">
        <v>88</v>
      </c>
      <c r="E46" s="8" t="s">
        <v>15</v>
      </c>
      <c r="F46" s="9">
        <v>1</v>
      </c>
      <c r="G46" s="8" t="s">
        <v>35</v>
      </c>
      <c r="H46" s="8" t="s">
        <v>16</v>
      </c>
      <c r="I46" s="10" t="s">
        <v>90</v>
      </c>
    </row>
    <row r="48" spans="2:9" ht="22" customHeight="1" x14ac:dyDescent="0.2">
      <c r="C48" s="3" t="s">
        <v>91</v>
      </c>
    </row>
    <row r="49" spans="2:9" ht="28" customHeight="1" x14ac:dyDescent="0.2">
      <c r="B49" s="27"/>
      <c r="C49" s="27" t="s">
        <v>4</v>
      </c>
      <c r="D49" s="27" t="s">
        <v>92</v>
      </c>
      <c r="E49" s="27" t="s">
        <v>93</v>
      </c>
      <c r="F49" s="27" t="s">
        <v>94</v>
      </c>
      <c r="G49" s="27" t="s">
        <v>95</v>
      </c>
      <c r="H49" s="27" t="s">
        <v>96</v>
      </c>
      <c r="I49" s="27"/>
    </row>
    <row r="50" spans="2:9" ht="24" customHeight="1" x14ac:dyDescent="0.2">
      <c r="B50" s="28"/>
      <c r="C50" s="29" t="s">
        <v>11</v>
      </c>
      <c r="D50" s="9">
        <v>3.7</v>
      </c>
      <c r="E50" s="30">
        <v>180</v>
      </c>
      <c r="F50" s="31">
        <f>D50*E50</f>
        <v>666</v>
      </c>
      <c r="G50" s="32">
        <f>F50*E$55</f>
        <v>19980</v>
      </c>
      <c r="H50" s="32">
        <f>G50*12</f>
        <v>239760</v>
      </c>
      <c r="I50" s="28"/>
    </row>
    <row r="51" spans="2:9" ht="24" customHeight="1" x14ac:dyDescent="0.2">
      <c r="B51" s="28"/>
      <c r="C51" s="29" t="s">
        <v>15</v>
      </c>
      <c r="D51" s="9">
        <v>81.5</v>
      </c>
      <c r="E51" s="30">
        <v>4</v>
      </c>
      <c r="F51" s="31">
        <f>D51*E51</f>
        <v>326</v>
      </c>
      <c r="G51" s="32">
        <f>F51*E$55</f>
        <v>9780</v>
      </c>
      <c r="H51" s="32">
        <f>G51*12</f>
        <v>117360</v>
      </c>
      <c r="I51" s="28"/>
    </row>
    <row r="52" spans="2:9" ht="24" customHeight="1" x14ac:dyDescent="0.2">
      <c r="B52" s="28"/>
      <c r="C52" s="29" t="s">
        <v>18</v>
      </c>
      <c r="D52" s="9">
        <v>14.8</v>
      </c>
      <c r="E52" s="30">
        <v>15</v>
      </c>
      <c r="F52" s="31">
        <f>D52*E52</f>
        <v>222</v>
      </c>
      <c r="G52" s="32">
        <f>F52*E$55</f>
        <v>6660</v>
      </c>
      <c r="H52" s="32">
        <f>G52*12</f>
        <v>79920</v>
      </c>
      <c r="I52" s="28"/>
    </row>
    <row r="53" spans="2:9" ht="26" customHeight="1" x14ac:dyDescent="0.2">
      <c r="B53" s="33"/>
      <c r="C53" s="34" t="s">
        <v>97</v>
      </c>
      <c r="D53" s="33"/>
      <c r="E53" s="33"/>
      <c r="F53" s="35">
        <f>SUM(F50:F52)</f>
        <v>1214</v>
      </c>
      <c r="G53" s="36">
        <f>SUM(G50:G52)</f>
        <v>36420</v>
      </c>
      <c r="H53" s="36">
        <f>SUM(H50:H52)</f>
        <v>437040</v>
      </c>
      <c r="I53" s="33"/>
    </row>
    <row r="55" spans="2:9" x14ac:dyDescent="0.2">
      <c r="C55" s="29" t="s">
        <v>98</v>
      </c>
      <c r="D55" s="28"/>
      <c r="E55" s="37">
        <v>30</v>
      </c>
      <c r="F55" s="38" t="s">
        <v>99</v>
      </c>
    </row>
  </sheetData>
  <autoFilter ref="B4:I46" xr:uid="{00000000-0009-0000-0000-000000000000}">
    <filterColumn colId="3">
      <filters>
        <filter val="Manager"/>
      </filters>
    </filterColumn>
  </autoFilter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27"/>
  <sheetViews>
    <sheetView showGridLines="0" topLeftCell="B1" workbookViewId="0">
      <pane ySplit="4" topLeftCell="A16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2.83203125" customWidth="1"/>
    <col min="2" max="2" width="2.5" customWidth="1"/>
    <col min="3" max="3" width="22" customWidth="1"/>
    <col min="4" max="4" width="38" customWidth="1"/>
    <col min="5" max="6" width="68" customWidth="1"/>
  </cols>
  <sheetData>
    <row r="1" spans="2:6" ht="32" customHeight="1" x14ac:dyDescent="0.2">
      <c r="B1" s="1"/>
      <c r="C1" s="2" t="s">
        <v>0</v>
      </c>
      <c r="D1" s="1"/>
      <c r="E1" s="1"/>
      <c r="F1" s="1"/>
    </row>
    <row r="2" spans="2:6" ht="6" customHeight="1" x14ac:dyDescent="0.2"/>
    <row r="3" spans="2:6" ht="22" customHeight="1" x14ac:dyDescent="0.2">
      <c r="C3" s="3" t="s">
        <v>100</v>
      </c>
    </row>
    <row r="4" spans="2:6" ht="36" customHeight="1" x14ac:dyDescent="0.2">
      <c r="B4" s="4"/>
      <c r="C4" s="4" t="s">
        <v>2</v>
      </c>
      <c r="D4" s="4" t="s">
        <v>3</v>
      </c>
      <c r="E4" s="4" t="s">
        <v>101</v>
      </c>
      <c r="F4" s="4" t="s">
        <v>102</v>
      </c>
    </row>
    <row r="5" spans="2:6" ht="75" customHeight="1" x14ac:dyDescent="0.2">
      <c r="B5" s="5"/>
      <c r="C5" s="10" t="s">
        <v>9</v>
      </c>
      <c r="D5" s="7" t="s">
        <v>10</v>
      </c>
      <c r="E5" s="10" t="s">
        <v>103</v>
      </c>
      <c r="F5" s="10" t="s">
        <v>104</v>
      </c>
    </row>
    <row r="6" spans="2:6" ht="75" customHeight="1" x14ac:dyDescent="0.2">
      <c r="B6" s="11"/>
      <c r="C6" s="10" t="s">
        <v>9</v>
      </c>
      <c r="D6" s="7" t="s">
        <v>21</v>
      </c>
      <c r="E6" s="10" t="s">
        <v>105</v>
      </c>
      <c r="F6" s="10" t="s">
        <v>106</v>
      </c>
    </row>
    <row r="7" spans="2:6" ht="75" customHeight="1" x14ac:dyDescent="0.2">
      <c r="B7" s="12"/>
      <c r="C7" s="10" t="s">
        <v>9</v>
      </c>
      <c r="D7" s="7" t="s">
        <v>25</v>
      </c>
      <c r="E7" s="10" t="s">
        <v>107</v>
      </c>
      <c r="F7" s="10" t="s">
        <v>108</v>
      </c>
    </row>
    <row r="8" spans="2:6" ht="75" customHeight="1" x14ac:dyDescent="0.2">
      <c r="B8" s="13"/>
      <c r="C8" s="10" t="s">
        <v>9</v>
      </c>
      <c r="D8" s="7" t="s">
        <v>27</v>
      </c>
      <c r="E8" s="10" t="s">
        <v>109</v>
      </c>
      <c r="F8" s="10" t="s">
        <v>110</v>
      </c>
    </row>
    <row r="9" spans="2:6" ht="75" customHeight="1" x14ac:dyDescent="0.2">
      <c r="B9" s="14"/>
      <c r="C9" s="10" t="s">
        <v>32</v>
      </c>
      <c r="D9" s="7" t="s">
        <v>33</v>
      </c>
      <c r="E9" s="10" t="s">
        <v>111</v>
      </c>
      <c r="F9" s="10" t="s">
        <v>112</v>
      </c>
    </row>
    <row r="10" spans="2:6" ht="60" customHeight="1" x14ac:dyDescent="0.2">
      <c r="B10" s="14"/>
      <c r="C10" s="10" t="s">
        <v>32</v>
      </c>
      <c r="D10" s="7" t="s">
        <v>37</v>
      </c>
      <c r="E10" s="10" t="s">
        <v>113</v>
      </c>
      <c r="F10" s="10" t="s">
        <v>114</v>
      </c>
    </row>
    <row r="11" spans="2:6" ht="60" customHeight="1" x14ac:dyDescent="0.2">
      <c r="B11" s="15"/>
      <c r="C11" s="10" t="s">
        <v>39</v>
      </c>
      <c r="D11" s="7" t="s">
        <v>40</v>
      </c>
      <c r="E11" s="10" t="s">
        <v>115</v>
      </c>
      <c r="F11" s="10" t="s">
        <v>116</v>
      </c>
    </row>
    <row r="12" spans="2:6" ht="45" customHeight="1" x14ac:dyDescent="0.2">
      <c r="B12" s="15"/>
      <c r="C12" s="10" t="s">
        <v>39</v>
      </c>
      <c r="D12" s="7" t="s">
        <v>42</v>
      </c>
      <c r="E12" s="10" t="s">
        <v>117</v>
      </c>
      <c r="F12" s="10" t="s">
        <v>118</v>
      </c>
    </row>
    <row r="13" spans="2:6" ht="60" customHeight="1" x14ac:dyDescent="0.2">
      <c r="B13" s="16"/>
      <c r="C13" s="10" t="s">
        <v>44</v>
      </c>
      <c r="D13" s="7" t="s">
        <v>45</v>
      </c>
      <c r="E13" s="10" t="s">
        <v>119</v>
      </c>
      <c r="F13" s="10" t="s">
        <v>120</v>
      </c>
    </row>
    <row r="14" spans="2:6" ht="75" customHeight="1" x14ac:dyDescent="0.2">
      <c r="B14" s="17"/>
      <c r="C14" s="10" t="s">
        <v>47</v>
      </c>
      <c r="D14" s="7" t="s">
        <v>48</v>
      </c>
      <c r="E14" s="10" t="s">
        <v>121</v>
      </c>
      <c r="F14" s="10" t="s">
        <v>122</v>
      </c>
    </row>
    <row r="15" spans="2:6" ht="75" customHeight="1" x14ac:dyDescent="0.2">
      <c r="B15" s="18"/>
      <c r="C15" s="10" t="s">
        <v>47</v>
      </c>
      <c r="D15" s="7" t="s">
        <v>51</v>
      </c>
      <c r="E15" s="10" t="s">
        <v>123</v>
      </c>
      <c r="F15" s="10" t="s">
        <v>124</v>
      </c>
    </row>
    <row r="16" spans="2:6" ht="75" customHeight="1" x14ac:dyDescent="0.2">
      <c r="B16" s="19"/>
      <c r="C16" s="10" t="s">
        <v>47</v>
      </c>
      <c r="D16" s="7" t="s">
        <v>54</v>
      </c>
      <c r="E16" s="10" t="s">
        <v>125</v>
      </c>
      <c r="F16" s="10" t="s">
        <v>126</v>
      </c>
    </row>
    <row r="17" spans="2:6" ht="75" customHeight="1" x14ac:dyDescent="0.2">
      <c r="B17" s="20"/>
      <c r="C17" s="10" t="s">
        <v>47</v>
      </c>
      <c r="D17" s="7" t="s">
        <v>57</v>
      </c>
      <c r="E17" s="10" t="s">
        <v>127</v>
      </c>
      <c r="F17" s="10" t="s">
        <v>128</v>
      </c>
    </row>
    <row r="18" spans="2:6" ht="75" customHeight="1" x14ac:dyDescent="0.2">
      <c r="B18" s="21"/>
      <c r="C18" s="10" t="s">
        <v>47</v>
      </c>
      <c r="D18" s="7" t="s">
        <v>59</v>
      </c>
      <c r="E18" s="10" t="s">
        <v>129</v>
      </c>
      <c r="F18" s="10" t="s">
        <v>130</v>
      </c>
    </row>
    <row r="19" spans="2:6" ht="75" customHeight="1" x14ac:dyDescent="0.2">
      <c r="B19" s="22"/>
      <c r="C19" s="10" t="s">
        <v>62</v>
      </c>
      <c r="D19" s="7" t="s">
        <v>63</v>
      </c>
      <c r="E19" s="10" t="s">
        <v>131</v>
      </c>
      <c r="F19" s="10" t="s">
        <v>132</v>
      </c>
    </row>
    <row r="20" spans="2:6" ht="60" customHeight="1" x14ac:dyDescent="0.2">
      <c r="B20" s="23"/>
      <c r="C20" s="10" t="s">
        <v>62</v>
      </c>
      <c r="D20" s="7" t="s">
        <v>68</v>
      </c>
      <c r="E20" s="10" t="s">
        <v>133</v>
      </c>
      <c r="F20" s="10" t="s">
        <v>134</v>
      </c>
    </row>
    <row r="21" spans="2:6" ht="60" customHeight="1" x14ac:dyDescent="0.2">
      <c r="B21" s="22"/>
      <c r="C21" s="10" t="s">
        <v>62</v>
      </c>
      <c r="D21" s="7" t="s">
        <v>71</v>
      </c>
      <c r="E21" s="10" t="s">
        <v>135</v>
      </c>
      <c r="F21" s="10" t="s">
        <v>136</v>
      </c>
    </row>
    <row r="22" spans="2:6" ht="60" customHeight="1" x14ac:dyDescent="0.2">
      <c r="B22" s="24"/>
      <c r="C22" s="10" t="s">
        <v>74</v>
      </c>
      <c r="D22" s="7" t="s">
        <v>75</v>
      </c>
      <c r="E22" s="10" t="s">
        <v>137</v>
      </c>
      <c r="F22" s="10" t="s">
        <v>138</v>
      </c>
    </row>
    <row r="23" spans="2:6" ht="60" customHeight="1" x14ac:dyDescent="0.2">
      <c r="B23" s="11"/>
      <c r="C23" s="10" t="s">
        <v>74</v>
      </c>
      <c r="D23" s="7" t="s">
        <v>77</v>
      </c>
      <c r="E23" s="10" t="s">
        <v>139</v>
      </c>
      <c r="F23" s="10" t="s">
        <v>140</v>
      </c>
    </row>
    <row r="24" spans="2:6" ht="60" customHeight="1" x14ac:dyDescent="0.2">
      <c r="B24" s="25"/>
      <c r="C24" s="10" t="s">
        <v>80</v>
      </c>
      <c r="D24" s="7" t="s">
        <v>81</v>
      </c>
      <c r="E24" s="10" t="s">
        <v>141</v>
      </c>
      <c r="F24" s="10" t="s">
        <v>142</v>
      </c>
    </row>
    <row r="25" spans="2:6" ht="60" customHeight="1" x14ac:dyDescent="0.2">
      <c r="B25" s="5"/>
      <c r="C25" s="10" t="s">
        <v>80</v>
      </c>
      <c r="D25" s="7" t="s">
        <v>83</v>
      </c>
      <c r="E25" s="10" t="s">
        <v>143</v>
      </c>
      <c r="F25" s="10" t="s">
        <v>144</v>
      </c>
    </row>
    <row r="26" spans="2:6" ht="60" customHeight="1" x14ac:dyDescent="0.2">
      <c r="B26" s="12"/>
      <c r="C26" s="10" t="s">
        <v>80</v>
      </c>
      <c r="D26" s="7" t="s">
        <v>85</v>
      </c>
      <c r="E26" s="10" t="s">
        <v>145</v>
      </c>
      <c r="F26" s="10" t="s">
        <v>146</v>
      </c>
    </row>
    <row r="27" spans="2:6" ht="60" customHeight="1" x14ac:dyDescent="0.2">
      <c r="B27" s="26"/>
      <c r="C27" s="10" t="s">
        <v>87</v>
      </c>
      <c r="D27" s="7" t="s">
        <v>88</v>
      </c>
      <c r="E27" s="10" t="s">
        <v>147</v>
      </c>
      <c r="F27" s="10" t="s">
        <v>148</v>
      </c>
    </row>
  </sheetData>
  <autoFilter ref="B4:F27" xr:uid="{00000000-0009-0000-0000-000001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× Stakeholder</vt:lpstr>
      <vt:lpstr>Module Pains &amp; 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11</cp:lastModifiedBy>
  <dcterms:created xsi:type="dcterms:W3CDTF">2026-05-10T09:42:00Z</dcterms:created>
  <dcterms:modified xsi:type="dcterms:W3CDTF">2026-05-11T15:03:12Z</dcterms:modified>
</cp:coreProperties>
</file>